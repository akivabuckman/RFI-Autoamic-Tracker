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kiva\Documents\Python\RFI TRC Tool\RFI_TRC_Automated_Tool\"/>
    </mc:Choice>
  </mc:AlternateContent>
  <xr:revisionPtr revIDLastSave="0" documentId="13_ncr:1_{C3D5FD5C-F0B3-4A2D-8EC3-FD4099242C1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Current Status" sheetId="6" r:id="rId1"/>
    <sheet name="Stations" sheetId="3" r:id="rId2"/>
    <sheet name="Backend" sheetId="4" r:id="rId3"/>
    <sheet name="Pictures" sheetId="5" r:id="rId4"/>
    <sheet name="Teams" sheetId="1" state="hidden" r:id="rId5"/>
    <sheet name="_xlwings.conf" sheetId="2" state="hidden" r:id="rId6"/>
  </sheets>
  <externalReferences>
    <externalReference r:id="rId7"/>
  </externalReferences>
  <definedNames>
    <definedName name="discipline_chart">INDIRECT(ADDRESS(2-1+MATCH(Pictures!$G$2, Pictures!$A$2, 0), 2))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4" l="1"/>
  <c r="B2" i="1" a="1"/>
  <c r="B2" i="1"/>
  <c r="C2" i="1" a="1"/>
  <c r="C2" i="1"/>
  <c r="A2" i="1" a="1"/>
  <c r="A2" i="1"/>
  <c r="H1" i="6"/>
  <c r="I1" i="6"/>
  <c r="F3" i="4"/>
  <c r="F4" i="4"/>
  <c r="F5" i="4"/>
  <c r="F6" i="4"/>
  <c r="D6" i="4"/>
  <c r="E6" i="4"/>
  <c r="K3" i="1"/>
  <c r="J3" i="1"/>
  <c r="I3" i="1"/>
  <c r="K2" i="1"/>
  <c r="J2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<sst xmlns="http://schemas.openxmlformats.org/spreadsheetml/2006/main" count="80" uniqueCount="61">
  <si>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</si>
  <si>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</si>
  <si>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</si>
  <si>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</si>
  <si>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</si>
  <si>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</si>
  <si>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</si>
  <si>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</si>
  <si>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</si>
  <si>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</si>
  <si>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</si>
  <si>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</si>
  <si>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</si>
  <si>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</si>
  <si>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</si>
  <si>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Team</t>
  </si>
  <si>
    <t>AA</t>
  </si>
  <si>
    <t>ME</t>
  </si>
  <si>
    <t>SD</t>
  </si>
  <si>
    <t>Manager</t>
  </si>
  <si>
    <t>Staff</t>
  </si>
  <si>
    <t>DP01</t>
  </si>
  <si>
    <t>DP02</t>
  </si>
  <si>
    <t>DP03</t>
  </si>
  <si>
    <t>DP04</t>
  </si>
  <si>
    <t>DP05</t>
  </si>
  <si>
    <t>DP06</t>
  </si>
  <si>
    <t>DP07</t>
  </si>
  <si>
    <t>DP08</t>
  </si>
  <si>
    <t>DP09</t>
  </si>
  <si>
    <t>DP10</t>
  </si>
  <si>
    <t>MEP</t>
  </si>
  <si>
    <t>Late</t>
  </si>
  <si>
    <t>This Week</t>
  </si>
  <si>
    <t>Total</t>
  </si>
  <si>
    <t>Future</t>
  </si>
  <si>
    <t>Station</t>
  </si>
  <si>
    <t>discipline_chart</t>
  </si>
  <si>
    <t>Jim</t>
  </si>
  <si>
    <t>Karen</t>
  </si>
  <si>
    <t>Angela</t>
  </si>
  <si>
    <t>Dwight</t>
  </si>
  <si>
    <t>Oscar</t>
  </si>
  <si>
    <t>Michael</t>
  </si>
  <si>
    <t>Jan</t>
  </si>
  <si>
    <t>David</t>
  </si>
  <si>
    <t>Pam</t>
  </si>
  <si>
    <t>Creed</t>
  </si>
  <si>
    <t>Erin</t>
  </si>
  <si>
    <t>Kevin</t>
  </si>
  <si>
    <t>Andy</t>
  </si>
  <si>
    <t>Toby</t>
  </si>
  <si>
    <t>Stanley</t>
  </si>
  <si>
    <t>Holly</t>
  </si>
  <si>
    <t>Kelly</t>
  </si>
  <si>
    <t>Ryan</t>
  </si>
  <si>
    <t>Meredith</t>
  </si>
  <si>
    <t>Gabe</t>
  </si>
  <si>
    <t>Phyllis</t>
  </si>
  <si>
    <t>Darryl</t>
  </si>
  <si>
    <t xml:space="preserve">AA: 16, 5 late
RFI 00005 (DP02) - This Week: 2 day(s)
RFI 00009 (DP04) - This Week: 1 day(s)
RFI 00010 (DP02) - Future: 8 day(s)
RFI 00011 (DP05) - This Week: 5 day(s)
RFI 00014 (DP10) - Late: -2 day(s)
RFI 00015 (DP01) - This Week: 2 day(s)
RFI 00018 (DP10) - This Week: 5 day(s)
RFI 00021 (DP10) - Late: -3 day(s)
RFI 00022 (DP02) - Future: 12 day(s)
RFI 00026 (DP10) - This Week: 7 day(s)
RFI 00029 (DP07) - Late: -3 day(s)
RFI 00031 (DP03) - Future: 9 day(s)
RFI 00035 (DP06) - Late: -2 day(s)
RFI 00039 (DP07) - Future: 8 day(s)
RFI 00040 (DP10) - Today: 0 day(s)
RFI 00041 (DP10) - Late: -3 day(s)
MEP: 18, 2 late
RFI 00001 (DP08) - This Week: 1 day(s)
RFI 00003 (DP10) - Future: 11 day(s)
RFI 00004 (DP02) - This Week: 1 day(s)
RFI 00007 (DP08) - This Week: 2 day(s)
RFI 00008 (DP06) - Future: 12 day(s)
RFI 00012 (DP10) - This Week: 5 day(s)
RFI 00013 (DP01) - This Week: 6 day(s)
RFI 00016 (DP10) - This Week: 7 day(s)
RFI 00023 (DP08) - Future: 11 day(s)
RFI 00024 (DP05) - This Week: 2 day(s)
RFI 00032 (DP04) - Late: -3 day(s)
RFI 00033 (DP05) - This Week: 6 day(s)
RFI 00034 (DP05) - Late: -3 day(s)
RFI 00038 (DP01) - This Week: 4 day(s)
RFI 00042 (DP07) - Future: 12 day(s)
RFI 00043 (DP03) - This Week: 2 day(s)
RFI 00051 (DP06) - Today: 0 day(s)
RFI 00052 (DP09) - Future: 13 day(s)
SD: 18, 6 late
RFI 00002 (DP09) - This Week: 5 day(s)
RFI 00006 (DP09) - Future: 12 day(s)
RFI 00017 (DP02) - This Week: 5 day(s)
RFI 00019 (DP10) - Today: 0 day(s)
RFI 00020 (DP08) - Future: 9 day(s)
RFI 00025 (DP08) - Late: -1 day(s)
RFI 00027 (DP02) - Future: 13 day(s)
RFI 00028 (DP03) - This Week: 4 day(s)
RFI 00030 (DP07) - Late: -3 day(s)
RFI 00036 (DP05) - Late: -3 day(s)
RFI 00037 (DP06) - Late: -1 day(s)
RFI 00044 (DP03) - This Week: 6 day(s)
RFI 00045 (DP10) - Late: -3 day(s)
RFI 00046 (DP05) - Future: 13 day(s)
RFI 00047 (DP02) - This Week: 5 day(s)
RFI 00048 (DP09) - Future: 9 day(s)
RFI 00049 (DP01) - This Week: 7 day(s)
RFI 00050 (DP09) - Late: -2 day(s)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</si>
</sst>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thick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4" borderId="0" xfId="0" applyFill="1"/>
    <xf numFmtId="0" fontId="1" fillId="2" borderId="22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vertical="top" wrapText="1"/>
    </xf>
    <xf numFmtId="0" fontId="2" fillId="5" borderId="0" xfId="0" applyFont="1" applyFill="1" applyAlignment="1">
      <alignment vertical="top" wrapText="1"/>
    </xf>
    <xf numFmtId="0" fontId="0" fillId="2" borderId="0" xfId="0" applyFill="1"/>
    <xf numFmtId="0" fontId="1" fillId="2" borderId="25" xfId="0" applyFont="1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1" fillId="2" borderId="31" xfId="0" applyFont="1" applyFill="1" applyBorder="1" applyAlignment="1">
      <alignment horizontal="center"/>
    </xf>
    <xf numFmtId="0" fontId="3" fillId="5" borderId="0" xfId="0" applyFont="1" applyFill="1"/>
    <xf numFmtId="0" fontId="4" fillId="5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</cellXfs>
  <cellStyles count="1">
    <cellStyle name="Normal" xfId="0" builtinId="0"/>
  </cellStyles>
  <dxfs count="3">
    <dxf>
      <font>
        <color theme="9" tint="0.59996337778862885"/>
      </font>
      <fill>
        <patternFill>
          <bgColor theme="9" tint="0.59996337778862885"/>
        </patternFill>
      </fill>
    </dxf>
    <dxf>
      <fill>
        <gradientFill degree="90">
          <stop position="0">
            <color theme="0" tint="-0.1490218817712943"/>
          </stop>
          <stop position="1">
            <color theme="8" tint="-0.49803155613879818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theme="8" tint="-0.49803155613879818"/>
          </stop>
        </gradientFill>
      </fill>
    </dxf>
  </dxfs>
  <tableStyles count="0" defaultTableStyle="TableStyleMedium9" defaultPivotStyle="PivotStyleMedium4"/>
  <colors>
    <mruColors>
      <color rgb="FFEB2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RFI/TRC by Discipline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Backend!$C$2</c:f>
              <c:strCache>
                <c:ptCount val="1"/>
                <c:pt idx="0">
                  <c:v>Late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rgbClr val="EB2722">
                  <a:alpha val="24706"/>
                </a:srgb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Backend!$B$3:$B$5</c:f>
              <c:strCache>
                <c:ptCount val="3"/>
                <c:pt idx="0">
                  <c:v>AA</c:v>
                </c:pt>
                <c:pt idx="1">
                  <c:v>MEP</c:v>
                </c:pt>
                <c:pt idx="2">
                  <c:v>SD</c:v>
                </c:pt>
              </c:strCache>
            </c:strRef>
          </c:cat>
          <c:val>
            <c:numRef>
              <c:f>Backend!$C$3:$C$5</c:f>
              <c:numCache>
                <c:formatCode>General</c:formatCode>
                <c:ptCount val="3"/>
                <c:pt idx="0">
                  <c:v>5</c:v>
                </c:pt>
                <c:pt idx="1">
                  <c:v>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F-43E2-A645-C830C5E83F68}"/>
            </c:ext>
          </c:extLst>
        </c:ser>
        <c:ser>
          <c:idx val="1"/>
          <c:order val="1"/>
          <c:tx>
            <c:strRef>
              <c:f>Backend!$D$2</c:f>
              <c:strCache>
                <c:ptCount val="1"/>
                <c:pt idx="0">
                  <c:v>This Week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lumMod val="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Backend!$B$3:$B$5</c:f>
              <c:strCache>
                <c:ptCount val="3"/>
                <c:pt idx="0">
                  <c:v>AA</c:v>
                </c:pt>
                <c:pt idx="1">
                  <c:v>MEP</c:v>
                </c:pt>
                <c:pt idx="2">
                  <c:v>SD</c:v>
                </c:pt>
              </c:strCache>
            </c:strRef>
          </c:cat>
          <c:val>
            <c:numRef>
              <c:f>Backend!$D$3:$D$5</c:f>
              <c:numCache>
                <c:formatCode>General</c:formatCode>
                <c:ptCount val="3"/>
                <c:pt idx="0">
                  <c:v>7</c:v>
                </c:pt>
                <c:pt idx="1">
                  <c:v>11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F-43E2-A645-C830C5E83F68}"/>
            </c:ext>
          </c:extLst>
        </c:ser>
        <c:ser>
          <c:idx val="2"/>
          <c:order val="2"/>
          <c:tx>
            <c:strRef>
              <c:f>Backend!$E$2</c:f>
              <c:strCache>
                <c:ptCount val="1"/>
                <c:pt idx="0">
                  <c:v>Future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76200">
                <a:schemeClr val="accent5">
                  <a:lumMod val="50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Backend!$B$3:$B$5</c:f>
              <c:strCache>
                <c:ptCount val="3"/>
                <c:pt idx="0">
                  <c:v>AA</c:v>
                </c:pt>
                <c:pt idx="1">
                  <c:v>MEP</c:v>
                </c:pt>
                <c:pt idx="2">
                  <c:v>SD</c:v>
                </c:pt>
              </c:strCache>
            </c:strRef>
          </c:cat>
          <c:val>
            <c:numRef>
              <c:f>Backend!$E$3:$E$5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F-43E2-A645-C830C5E83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568091552"/>
        <c:axId val="568096144"/>
      </c:barChart>
      <c:catAx>
        <c:axId val="5680915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96144"/>
        <c:crosses val="autoZero"/>
        <c:auto val="1"/>
        <c:lblAlgn val="ctr"/>
        <c:lblOffset val="100"/>
        <c:noMultiLvlLbl val="0"/>
      </c:catAx>
      <c:valAx>
        <c:axId val="5680961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9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RFI/TRC by Discipline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Backend!$C$2</c:f>
              <c:strCache>
                <c:ptCount val="1"/>
                <c:pt idx="0">
                  <c:v>Late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Backend!$B$3:$B$5</c:f>
              <c:strCache>
                <c:ptCount val="3"/>
                <c:pt idx="0">
                  <c:v>AA</c:v>
                </c:pt>
                <c:pt idx="1">
                  <c:v>MEP</c:v>
                </c:pt>
                <c:pt idx="2">
                  <c:v>SD</c:v>
                </c:pt>
              </c:strCache>
            </c:strRef>
          </c:cat>
          <c:val>
            <c:numRef>
              <c:f>Backend!$C$3:$C$5</c:f>
              <c:numCache>
                <c:formatCode>General</c:formatCode>
                <c:ptCount val="3"/>
                <c:pt idx="0">
                  <c:v>5</c:v>
                </c:pt>
                <c:pt idx="1">
                  <c:v>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D-4015-A9BB-7D3D23B1AD83}"/>
            </c:ext>
          </c:extLst>
        </c:ser>
        <c:ser>
          <c:idx val="1"/>
          <c:order val="1"/>
          <c:tx>
            <c:strRef>
              <c:f>Backend!$D$2</c:f>
              <c:strCache>
                <c:ptCount val="1"/>
                <c:pt idx="0">
                  <c:v>This Week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Backend!$B$3:$B$5</c:f>
              <c:strCache>
                <c:ptCount val="3"/>
                <c:pt idx="0">
                  <c:v>AA</c:v>
                </c:pt>
                <c:pt idx="1">
                  <c:v>MEP</c:v>
                </c:pt>
                <c:pt idx="2">
                  <c:v>SD</c:v>
                </c:pt>
              </c:strCache>
            </c:strRef>
          </c:cat>
          <c:val>
            <c:numRef>
              <c:f>Backend!$D$3:$D$5</c:f>
              <c:numCache>
                <c:formatCode>General</c:formatCode>
                <c:ptCount val="3"/>
                <c:pt idx="0">
                  <c:v>7</c:v>
                </c:pt>
                <c:pt idx="1">
                  <c:v>11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D-4015-A9BB-7D3D23B1AD83}"/>
            </c:ext>
          </c:extLst>
        </c:ser>
        <c:ser>
          <c:idx val="2"/>
          <c:order val="2"/>
          <c:tx>
            <c:strRef>
              <c:f>Backend!$E$2</c:f>
              <c:strCache>
                <c:ptCount val="1"/>
                <c:pt idx="0">
                  <c:v>Future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Backend!$B$3:$B$5</c:f>
              <c:strCache>
                <c:ptCount val="3"/>
                <c:pt idx="0">
                  <c:v>AA</c:v>
                </c:pt>
                <c:pt idx="1">
                  <c:v>MEP</c:v>
                </c:pt>
                <c:pt idx="2">
                  <c:v>SD</c:v>
                </c:pt>
              </c:strCache>
            </c:strRef>
          </c:cat>
          <c:val>
            <c:numRef>
              <c:f>Backend!$E$3:$E$5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BD-4015-A9BB-7D3D23B1A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568091552"/>
        <c:axId val="568096144"/>
      </c:barChart>
      <c:catAx>
        <c:axId val="5680915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96144"/>
        <c:crosses val="autoZero"/>
        <c:auto val="1"/>
        <c:lblAlgn val="ctr"/>
        <c:lblOffset val="100"/>
        <c:noMultiLvlLbl val="0"/>
      </c:catAx>
      <c:valAx>
        <c:axId val="5680961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9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RFI/TRC by Discipline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Backend!$C$2</c:f>
              <c:strCache>
                <c:ptCount val="1"/>
                <c:pt idx="0">
                  <c:v>Late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rgbClr val="EB2722">
                  <a:alpha val="24706"/>
                </a:srgb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Backend!$B$3:$B$5</c:f>
              <c:strCache>
                <c:ptCount val="3"/>
                <c:pt idx="0">
                  <c:v>AA</c:v>
                </c:pt>
                <c:pt idx="1">
                  <c:v>MEP</c:v>
                </c:pt>
                <c:pt idx="2">
                  <c:v>SD</c:v>
                </c:pt>
              </c:strCache>
            </c:strRef>
          </c:cat>
          <c:val>
            <c:numRef>
              <c:f>Backend!$C$3:$C$5</c:f>
              <c:numCache>
                <c:formatCode>General</c:formatCode>
                <c:ptCount val="3"/>
                <c:pt idx="0">
                  <c:v>5</c:v>
                </c:pt>
                <c:pt idx="1">
                  <c:v>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8-4BF4-8E9B-26037435EF27}"/>
            </c:ext>
          </c:extLst>
        </c:ser>
        <c:ser>
          <c:idx val="1"/>
          <c:order val="1"/>
          <c:tx>
            <c:strRef>
              <c:f>Backend!$D$2</c:f>
              <c:strCache>
                <c:ptCount val="1"/>
                <c:pt idx="0">
                  <c:v>This Week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lumMod val="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Backend!$B$3:$B$5</c:f>
              <c:strCache>
                <c:ptCount val="3"/>
                <c:pt idx="0">
                  <c:v>AA</c:v>
                </c:pt>
                <c:pt idx="1">
                  <c:v>MEP</c:v>
                </c:pt>
                <c:pt idx="2">
                  <c:v>SD</c:v>
                </c:pt>
              </c:strCache>
            </c:strRef>
          </c:cat>
          <c:val>
            <c:numRef>
              <c:f>Backend!$D$3:$D$5</c:f>
              <c:numCache>
                <c:formatCode>General</c:formatCode>
                <c:ptCount val="3"/>
                <c:pt idx="0">
                  <c:v>7</c:v>
                </c:pt>
                <c:pt idx="1">
                  <c:v>11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8-4BF4-8E9B-26037435EF27}"/>
            </c:ext>
          </c:extLst>
        </c:ser>
        <c:ser>
          <c:idx val="2"/>
          <c:order val="2"/>
          <c:tx>
            <c:strRef>
              <c:f>Backend!$E$2</c:f>
              <c:strCache>
                <c:ptCount val="1"/>
                <c:pt idx="0">
                  <c:v>Future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76200">
                <a:schemeClr val="accent5">
                  <a:lumMod val="50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Backend!$B$3:$B$5</c:f>
              <c:strCache>
                <c:ptCount val="3"/>
                <c:pt idx="0">
                  <c:v>AA</c:v>
                </c:pt>
                <c:pt idx="1">
                  <c:v>MEP</c:v>
                </c:pt>
                <c:pt idx="2">
                  <c:v>SD</c:v>
                </c:pt>
              </c:strCache>
            </c:strRef>
          </c:cat>
          <c:val>
            <c:numRef>
              <c:f>Backend!$E$3:$E$5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8-4BF4-8E9B-26037435E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568091552"/>
        <c:axId val="568096144"/>
      </c:barChart>
      <c:catAx>
        <c:axId val="56809155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96144"/>
        <c:crosses val="autoZero"/>
        <c:auto val="1"/>
        <c:lblAlgn val="ctr"/>
        <c:lblOffset val="100"/>
        <c:noMultiLvlLbl val="0"/>
      </c:catAx>
      <c:valAx>
        <c:axId val="5680961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9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5.emf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401532</xdr:colOff>
      <xdr:row>0</xdr:row>
      <xdr:rowOff>2608515</xdr:rowOff>
    </xdr:from>
    <xdr:to>
      <xdr:col>2</xdr:col>
      <xdr:colOff>342488</xdr:colOff>
      <xdr:row>0</xdr:row>
      <xdr:rowOff>2978937</xdr:rowOff>
    </xdr:to>
    <xdr:sp macro="[0]!link_python_exce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B83BA4-A5BC-47FA-A8E8-02F19A14361C}"/>
            </a:ext>
          </a:extLst>
        </xdr:cNvPr>
        <xdr:cNvSpPr/>
      </xdr:nvSpPr>
      <xdr:spPr>
        <a:xfrm>
          <a:off x="401532" y="2608515"/>
          <a:ext cx="1083956" cy="370422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/>
            <a:t>Send</a:t>
          </a:r>
          <a:r>
            <a:rPr lang="en-US" sz="800" baseline="0"/>
            <a:t> Email Reports</a:t>
          </a:r>
          <a:endParaRPr lang="en-US" sz="800"/>
        </a:p>
      </xdr:txBody>
    </xdr:sp>
    <xdr:clientData/>
  </xdr:twoCellAnchor>
  <xdr:twoCellAnchor editAs="absolute">
    <xdr:from>
      <xdr:col>3</xdr:col>
      <xdr:colOff>138809</xdr:colOff>
      <xdr:row>0</xdr:row>
      <xdr:rowOff>141712</xdr:rowOff>
    </xdr:from>
    <xdr:to>
      <xdr:col>6</xdr:col>
      <xdr:colOff>615059</xdr:colOff>
      <xdr:row>0</xdr:row>
      <xdr:rowOff>3178098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8C14D3D-8EC6-4E81-868C-2C59DF0D5B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41817</xdr:colOff>
          <xdr:row>0</xdr:row>
          <xdr:rowOff>745882</xdr:rowOff>
        </xdr:from>
        <xdr:to>
          <xdr:col>3</xdr:col>
          <xdr:colOff>60403</xdr:colOff>
          <xdr:row>0</xdr:row>
          <xdr:rowOff>2447924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F74E89D-39E4-7855-B2B1-AB8085E7543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tations!$B$1:$E$12" spid="_x0000_s618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1817" y="745882"/>
              <a:ext cx="1914293" cy="170204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65050</xdr:colOff>
          <xdr:row>0</xdr:row>
          <xdr:rowOff>106866</xdr:rowOff>
        </xdr:from>
        <xdr:to>
          <xdr:col>3</xdr:col>
          <xdr:colOff>41819</xdr:colOff>
          <xdr:row>0</xdr:row>
          <xdr:rowOff>676190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0896BAFB-E7AD-4B13-91E5-6FD7682375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ackend!$B$2:$F$6" spid="_x0000_s618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5050" y="106866"/>
              <a:ext cx="1872476" cy="5693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192881</xdr:colOff>
      <xdr:row>6</xdr:row>
      <xdr:rowOff>363141</xdr:rowOff>
    </xdr:from>
    <xdr:to>
      <xdr:col>7</xdr:col>
      <xdr:colOff>339328</xdr:colOff>
      <xdr:row>6</xdr:row>
      <xdr:rowOff>1869282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6CB5F76-15B4-A9E2-F132-7B9EC9BE10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4</xdr:row>
          <xdr:rowOff>95250</xdr:rowOff>
        </xdr:from>
        <xdr:to>
          <xdr:col>1</xdr:col>
          <xdr:colOff>4276725</xdr:colOff>
          <xdr:row>9</xdr:row>
          <xdr:rowOff>122464</xdr:rowOff>
        </xdr:to>
        <xdr:pic>
          <xdr:nvPicPr>
            <xdr:cNvPr id="3" name="Picture 3">
              <a:extLst>
                <a:ext uri="{FF2B5EF4-FFF2-40B4-BE49-F238E27FC236}">
                  <a16:creationId xmlns:a16="http://schemas.microsoft.com/office/drawing/2014/main" id="{D66EC3F9-546F-E9E2-84E6-C32273F678D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ackend!$B$2:$F$6" spid="_x0000_s51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70982" y="3551464"/>
              <a:ext cx="3467100" cy="1047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4708071</xdr:colOff>
          <xdr:row>7</xdr:row>
          <xdr:rowOff>136071</xdr:rowOff>
        </xdr:from>
        <xdr:to>
          <xdr:col>6</xdr:col>
          <xdr:colOff>61551</xdr:colOff>
          <xdr:row>29</xdr:row>
          <xdr:rowOff>40821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E95F1F7-89E3-83EB-422E-885D09CD54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iscipline_chart" spid="_x0000_s518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769428" y="4204607"/>
              <a:ext cx="8838159" cy="43951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1</xdr:col>
      <xdr:colOff>40822</xdr:colOff>
      <xdr:row>1</xdr:row>
      <xdr:rowOff>108857</xdr:rowOff>
    </xdr:from>
    <xdr:to>
      <xdr:col>1</xdr:col>
      <xdr:colOff>5674179</xdr:colOff>
      <xdr:row>1</xdr:row>
      <xdr:rowOff>2707822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AB205-2834-4CCF-8B4D-7D260D7D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kiva/Documents/Python/RFI%20TRC%20Tool/Personn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tions"/>
      <sheetName val="Teams"/>
      <sheetName val="Personnel"/>
    </sheetNames>
    <sheetDataSet>
      <sheetData sheetId="0">
        <row r="2">
          <cell r="B2" t="str">
            <v>Chaya</v>
          </cell>
          <cell r="C2" t="str">
            <v>Teddy</v>
          </cell>
          <cell r="D2" t="str">
            <v>Thabet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611E5-9914-4261-A19F-07192A44C7C6}">
  <sheetPr codeName="Sheet5"/>
  <dimension ref="A1:N7"/>
  <sheetViews>
    <sheetView tabSelected="1" zoomScale="205" zoomScaleNormal="205" workbookViewId="0">
      <selection activeCell="H1" sqref="H1"/>
    </sheetView>
  </sheetViews>
  <sheetFormatPr defaultColWidth="0" defaultRowHeight="15.75" customHeight="1" x14ac:dyDescent="0.25"/>
  <cols>
    <col min="1" max="1" width="9" style="29" customWidth="1"/>
    <col min="2" max="2" width="6" style="29" customWidth="1"/>
    <col min="3" max="6" width="9.875" style="29" customWidth="1"/>
    <col min="7" max="7" width="9" style="29" customWidth="1"/>
    <col min="8" max="8" width="16.125" bestFit="1" customWidth="1"/>
    <col min="9" max="9" width="14.875" customWidth="1"/>
    <col min="10" max="12" width="9" hidden="1" customWidth="1"/>
    <col min="13" max="14" width="8.875" hidden="1" customWidth="1"/>
    <col min="15" max="16384" width="9" hidden="1"/>
  </cols>
  <sheetData>
    <row r="1" spans="8:9" s="29" customFormat="1" ht="269.25" customHeight="1" x14ac:dyDescent="0.25">
      <c r="H1" s="31" t="str">
        <f>CHAR(10)&amp;Backend!H1</f>
        <v xml:space="preserve">
AA: 16, 5 late
RFI 00005 (DP02) - This Week: 2 day(s)
RFI 00009 (DP04) - This Week: 1 day(s)
RFI 00010 (DP02) - Future: 8 day(s)
RFI 00011 (DP05) - This Week: 5 day(s)
RFI 00014 (DP10) - Late: -2 day(s)
RFI 00015 (DP01) - This Week: 2 day(s)
RFI 00018 (DP10) - This Week: 5 day(s)
RFI 00021 (DP10) - Late: -3 day(s)
RFI 00022 (DP02) - Future: 12 day(s)
RFI 00026 (DP10) - This Week: 7 day(s)
RFI 00029 (DP07) - Late: -3 day(s)
RFI 00031 (DP03) - Future: 9 day(s)
RFI 00035 (DP06) - Late: -2 day(s)
RFI 00039 (DP07) - Future: 8 day(s)
RFI 00040 (DP10) - Today: 0 day(s)
RFI 00041 (DP10) - Late: -3 day(s)
MEP: 18, 2 late
RFI 00001 (DP08) - This Week: 1 day(s)
RFI 00003 (DP10) - Future: 11 day(s)
RFI 00004 (DP02) - This Week: 1 day(s)
RFI 00007 (DP08) - This Week: 2 day(s)
RFI 00008 (DP06) - Future: 12 day(s)
RFI 00012 (DP10) - This Week: 5 day(s)
RFI 00013 (DP01) - This Week: 6 day(s)
RFI 00016 (DP10) - This Week: 7 day(s)
RFI 00023 (DP08) - Future: 11 day(s)
RFI 00024 (DP05) - This Week: 2 day(s)
RFI 00032 (DP04) - Late: -3 day(s)
RFI 00033 (DP05) - This Week: 6 day(s)
RFI 00034 (DP05) - Late: -3 day(s)
RFI 00038 (DP01) - This Week: 4 day(s)
RFI 00042 (DP07) - Future: 12 day(s)
RFI 00043 (DP03) - This Week: 2 day(s)
RFI 00051 (DP06) - Today: 0 day(s)
RFI 00052 (DP09) - Future: 13 day(s)
SD: 18, 6 late
RFI 00002 (DP09) - This Week: 5 day(s)
RFI 00006 (DP09) - Future: 12 day(s)
RFI 00017 (DP02) - This Week: 5 day(s)
RFI 00019 (DP10) - Today: 0 day(s)
RFI 00020 (DP08) - Future: 9 day(s)
RFI 00025 (DP08) - Late: -1 day(s)
RFI 00027 (DP02) - Future: 13 day(s)
RFI 00028 (DP03) - This Week: 4 day(s)
RFI 00030 (DP07) - Late: -3 day(s)
RFI 00036 (DP05) - Late: -3 day(s)
RFI 00037 (DP06) - Late: -1 day(s)
RFI 00044 (DP03) - This Week: 6 day(s)
RFI 00045 (DP10) - Late: -3 day(s)
RFI 00046 (DP05) - Future: 13 day(s)
RFI 00047 (DP02) - This Week: 5 day(s)
RFI 00048 (DP09) - Future: 9 day(s)
RFI 00049 (DP01) - This Week: 7 day(s)
RFI 00050 (DP09) - Late: -2 day(s)
</v>
      </c>
      <c r="I1" s="31" t="str">
        <f>MID(H1,FIND(CHAR(160),SUBSTITUTE(H1,CHAR(10),CHAR(160),32)),99999)</f>
        <v xml:space="preserve">
RFI 00034 (DP05) - Late: -3 day(s)
RFI 00038 (DP01) - This Week: 4 day(s)
RFI 00042 (DP07) - Future: 12 day(s)
RFI 00043 (DP03) - This Week: 2 day(s)
RFI 00051 (DP06) - Today: 0 day(s)
RFI 00052 (DP09) - Future: 13 day(s)
SD: 18, 6 late
RFI 00002 (DP09) - This Week: 5 day(s)
RFI 00006 (DP09) - Future: 12 day(s)
RFI 00017 (DP02) - This Week: 5 day(s)
RFI 00019 (DP10) - Today: 0 day(s)
RFI 00020 (DP08) - Future: 9 day(s)
RFI 00025 (DP08) - Late: -1 day(s)
RFI 00027 (DP02) - Future: 13 day(s)
RFI 00028 (DP03) - This Week: 4 day(s)
RFI 00030 (DP07) - Late: -3 day(s)
RFI 00036 (DP05) - Late: -3 day(s)
RFI 00037 (DP06) - Late: -1 day(s)
RFI 00044 (DP03) - This Week: 6 day(s)
RFI 00045 (DP10) - Late: -3 day(s)
RFI 00046 (DP05) - Future: 13 day(s)
RFI 00047 (DP02) - This Week: 5 day(s)
RFI 00048 (DP09) - Future: 9 day(s)
RFI 00049 (DP01) - This Week: 7 day(s)
RFI 00050 (DP09) - Late: -2 day(s)
</v>
      </c>
    </row>
    <row r="2" spans="8:9" s="32" customFormat="1" x14ac:dyDescent="0.25"/>
    <row r="3" spans="8:9" customFormat="1" x14ac:dyDescent="0.25">
      <c r="H3" s="29"/>
    </row>
    <row r="4" spans="8:9" customFormat="1" x14ac:dyDescent="0.25">
      <c r="H4" s="29"/>
    </row>
    <row r="5" spans="8:9" customFormat="1" x14ac:dyDescent="0.25">
      <c r="H5" s="29"/>
    </row>
    <row r="6" spans="8:9" customFormat="1" x14ac:dyDescent="0.25">
      <c r="H6" s="29"/>
    </row>
    <row r="7" spans="8:9" customFormat="1" ht="164.25" customHeight="1" x14ac:dyDescent="0.25">
      <c r="H7" s="29"/>
    </row>
  </sheetData>
  <conditionalFormatting sqref="A1:I1">
    <cfRule type="notContainsBlanks" dxfId="2" priority="2">
      <formula>LEN(TRIM(A1))&gt;0</formula>
    </cfRule>
    <cfRule type="containsBlanks" dxfId="1" priority="1">
      <formula>LEN(TRIM(A1))=0</formula>
    </cfRule>
  </conditionalFormatting>
  <pageMargins left="0.7" right="0.7" top="0.75" bottom="0.75" header="0.3" footer="0.3"/>
  <pageSetup orientation="portrait" r:id="rId1"/>
  <ignoredErrors>
    <ignoredError sqref="I1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0DFA6-727F-403A-BD82-C4F5DF54D122}">
  <sheetPr codeName="Sheet3"/>
  <dimension ref="A1:L13"/>
  <sheetViews>
    <sheetView zoomScale="235" zoomScaleNormal="235" workbookViewId="0">
      <selection activeCell="D6" sqref="D6"/>
    </sheetView>
  </sheetViews>
  <sheetFormatPr defaultColWidth="0" defaultRowHeight="15.75" zeroHeight="1" x14ac:dyDescent="0.25"/>
  <cols>
    <col min="1" max="1" width="9" style="40" customWidth="1"/>
    <col min="2" max="6" width="9" customWidth="1"/>
    <col min="7" max="12" width="0" hidden="1" customWidth="1"/>
    <col min="13" max="16384" width="9" hidden="1"/>
  </cols>
  <sheetData>
    <row r="1" spans="1:12" ht="17.25" thickTop="1" thickBot="1" x14ac:dyDescent="0.3">
      <c r="B1" s="42" t="s">
        <v>36</v>
      </c>
      <c r="C1" s="5" t="s">
        <v>16</v>
      </c>
      <c r="D1" s="27" t="s">
        <v>17</v>
      </c>
      <c r="E1" s="33" t="s">
        <v>18</v>
      </c>
      <c r="F1" s="29"/>
      <c r="I1" s="3"/>
      <c r="J1" s="3"/>
      <c r="K1" s="3"/>
      <c r="L1" s="3"/>
    </row>
    <row r="2" spans="1:12" x14ac:dyDescent="0.25">
      <c r="A2" s="41">
        <v>1</v>
      </c>
      <c r="B2" s="43" t="s">
        <v>19</v>
      </c>
      <c r="C2" s="9" t="s">
        <v>44</v>
      </c>
      <c r="D2" s="16" t="s">
        <v>43</v>
      </c>
      <c r="E2" s="34" t="s">
        <v>45</v>
      </c>
      <c r="F2" s="29"/>
      <c r="I2" s="3"/>
      <c r="J2" s="3"/>
      <c r="K2" s="3"/>
      <c r="L2" s="3"/>
    </row>
    <row r="3" spans="1:12" x14ac:dyDescent="0.25">
      <c r="A3" s="41">
        <v>2</v>
      </c>
      <c r="B3" s="7" t="s">
        <v>21</v>
      </c>
      <c r="C3" s="11" t="s">
        <v>41</v>
      </c>
      <c r="D3" s="17" t="s">
        <v>38</v>
      </c>
      <c r="E3" s="35" t="s">
        <v>42</v>
      </c>
      <c r="F3" s="29"/>
      <c r="I3" s="3"/>
      <c r="J3" s="3"/>
      <c r="K3" s="3"/>
      <c r="L3" s="3"/>
    </row>
    <row r="4" spans="1:12" x14ac:dyDescent="0.25">
      <c r="A4" s="41">
        <v>3</v>
      </c>
      <c r="B4" s="7" t="s">
        <v>22</v>
      </c>
      <c r="C4" s="11" t="s">
        <v>46</v>
      </c>
      <c r="D4" s="17" t="s">
        <v>47</v>
      </c>
      <c r="E4" s="35" t="s">
        <v>48</v>
      </c>
      <c r="F4" s="29"/>
      <c r="I4" s="3"/>
      <c r="J4" s="3"/>
      <c r="K4" s="3"/>
      <c r="L4" s="3"/>
    </row>
    <row r="5" spans="1:12" x14ac:dyDescent="0.25">
      <c r="A5" s="41">
        <v>4</v>
      </c>
      <c r="B5" s="7" t="s">
        <v>23</v>
      </c>
      <c r="C5" s="11" t="s">
        <v>49</v>
      </c>
      <c r="D5" s="17" t="s">
        <v>50</v>
      </c>
      <c r="E5" s="35" t="s">
        <v>48</v>
      </c>
      <c r="F5" s="29"/>
      <c r="I5" s="3"/>
      <c r="J5" s="3"/>
      <c r="K5" s="3"/>
      <c r="L5" s="3"/>
    </row>
    <row r="6" spans="1:12" x14ac:dyDescent="0.25">
      <c r="A6" s="41">
        <v>5</v>
      </c>
      <c r="B6" s="7" t="s">
        <v>24</v>
      </c>
      <c r="C6" s="11" t="s">
        <v>44</v>
      </c>
      <c r="D6" s="17" t="s">
        <v>43</v>
      </c>
      <c r="E6" s="35" t="s">
        <v>51</v>
      </c>
      <c r="F6" s="29"/>
      <c r="I6" s="3"/>
      <c r="J6" s="3"/>
      <c r="K6" s="3"/>
      <c r="L6" s="3"/>
    </row>
    <row r="7" spans="1:12" x14ac:dyDescent="0.25">
      <c r="A7" s="41">
        <v>6</v>
      </c>
      <c r="B7" s="7" t="s">
        <v>25</v>
      </c>
      <c r="C7" s="11" t="s">
        <v>40</v>
      </c>
      <c r="D7" s="17" t="s">
        <v>52</v>
      </c>
      <c r="E7" s="35" t="s">
        <v>59</v>
      </c>
      <c r="F7" s="29"/>
      <c r="I7" s="3"/>
      <c r="J7" s="3"/>
      <c r="K7" s="3"/>
      <c r="L7" s="3"/>
    </row>
    <row r="8" spans="1:12" x14ac:dyDescent="0.25">
      <c r="A8" s="41">
        <v>7</v>
      </c>
      <c r="B8" s="7" t="s">
        <v>26</v>
      </c>
      <c r="C8" s="11" t="s">
        <v>53</v>
      </c>
      <c r="D8" s="17" t="s">
        <v>54</v>
      </c>
      <c r="E8" s="35" t="s">
        <v>55</v>
      </c>
      <c r="F8" s="29"/>
      <c r="I8" s="3"/>
      <c r="J8" s="3"/>
      <c r="K8" s="3"/>
      <c r="L8" s="3"/>
    </row>
    <row r="9" spans="1:12" x14ac:dyDescent="0.25">
      <c r="A9" s="41">
        <v>8</v>
      </c>
      <c r="B9" s="7" t="s">
        <v>27</v>
      </c>
      <c r="C9" s="11" t="s">
        <v>56</v>
      </c>
      <c r="D9" s="17" t="s">
        <v>47</v>
      </c>
      <c r="E9" s="35" t="s">
        <v>51</v>
      </c>
      <c r="F9" s="29"/>
      <c r="I9" s="3"/>
      <c r="J9" s="3"/>
      <c r="K9" s="3"/>
      <c r="L9" s="3"/>
    </row>
    <row r="10" spans="1:12" x14ac:dyDescent="0.25">
      <c r="A10" s="41">
        <v>9</v>
      </c>
      <c r="B10" s="7" t="s">
        <v>28</v>
      </c>
      <c r="C10" s="11" t="s">
        <v>57</v>
      </c>
      <c r="D10" s="17" t="s">
        <v>54</v>
      </c>
      <c r="E10" s="35" t="s">
        <v>58</v>
      </c>
      <c r="F10" s="29"/>
      <c r="I10" s="3"/>
      <c r="J10" s="3"/>
      <c r="K10" s="3"/>
      <c r="L10" s="3"/>
    </row>
    <row r="11" spans="1:12" x14ac:dyDescent="0.25">
      <c r="A11" s="41">
        <v>10</v>
      </c>
      <c r="B11" s="7" t="s">
        <v>29</v>
      </c>
      <c r="C11" s="11" t="s">
        <v>56</v>
      </c>
      <c r="D11" s="17" t="s">
        <v>50</v>
      </c>
      <c r="E11" s="35" t="s">
        <v>51</v>
      </c>
      <c r="F11" s="29"/>
      <c r="I11" s="3"/>
      <c r="J11" s="3"/>
      <c r="K11" s="3"/>
      <c r="L11" s="3"/>
    </row>
    <row r="12" spans="1:12" ht="16.5" thickBot="1" x14ac:dyDescent="0.3">
      <c r="A12" s="41">
        <v>11</v>
      </c>
      <c r="B12" s="39" t="s">
        <v>30</v>
      </c>
      <c r="C12" s="36" t="s">
        <v>44</v>
      </c>
      <c r="D12" s="37" t="s">
        <v>39</v>
      </c>
      <c r="E12" s="38" t="s">
        <v>58</v>
      </c>
      <c r="F12" s="29"/>
      <c r="I12" s="3"/>
      <c r="J12" s="3"/>
      <c r="K12" s="3"/>
      <c r="L12" s="3"/>
    </row>
    <row r="13" spans="1:12" ht="16.5" thickTop="1" x14ac:dyDescent="0.25">
      <c r="B13" s="29"/>
      <c r="C13" s="29"/>
      <c r="D13" s="29"/>
      <c r="E13" s="29"/>
      <c r="F13" s="2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FE773-68C6-49B6-AC3C-E70ABCC733D5}">
  <sheetPr codeName="Sheet4"/>
  <dimension ref="A1:N7"/>
  <sheetViews>
    <sheetView zoomScale="160" zoomScaleNormal="160" workbookViewId="0">
      <selection activeCell="C3" sqref="C3"/>
    </sheetView>
  </sheetViews>
  <sheetFormatPr defaultColWidth="0" defaultRowHeight="15.75" zeroHeight="1" x14ac:dyDescent="0.25"/>
  <cols>
    <col min="1" max="1" width="9" style="29" customWidth="1"/>
    <col min="2" max="2" width="6" customWidth="1"/>
    <col min="3" max="6" width="9.875" customWidth="1"/>
    <col min="7" max="7" width="9" customWidth="1"/>
    <col min="8" max="8" width="62.375" customWidth="1"/>
    <col min="9" max="9" width="9.875" hidden="1" customWidth="1"/>
    <col min="10" max="12" width="9" hidden="1" customWidth="1"/>
    <col min="13" max="14" width="8.875" hidden="1" customWidth="1"/>
    <col min="15" max="16384" width="9" hidden="1"/>
  </cols>
  <sheetData>
    <row r="1" spans="2:8" s="29" customFormat="1" ht="20.25" customHeight="1" thickBot="1" x14ac:dyDescent="0.3">
      <c r="H1" s="30" t="s">
        <v>60</v>
      </c>
    </row>
    <row r="2" spans="2:8" ht="17.25" thickTop="1" thickBot="1" x14ac:dyDescent="0.3">
      <c r="B2" s="24"/>
      <c r="C2" s="4" t="s">
        <v>32</v>
      </c>
      <c r="D2" s="5" t="s">
        <v>33</v>
      </c>
      <c r="E2" s="27" t="s">
        <v>35</v>
      </c>
      <c r="F2" s="28" t="s">
        <v>34</v>
      </c>
      <c r="G2" s="29"/>
      <c r="H2" s="29"/>
    </row>
    <row r="3" spans="2:8" ht="16.5" thickTop="1" x14ac:dyDescent="0.25">
      <c r="B3" s="6" t="s">
        <v>16</v>
      </c>
      <c r="C3" s="8">
        <v>5</v>
      </c>
      <c r="D3" s="9">
        <v>7</v>
      </c>
      <c r="E3" s="16">
        <v>4</v>
      </c>
      <c r="F3" s="12">
        <f>SUM(C3:E3)</f>
        <v>16</v>
      </c>
      <c r="G3" s="29"/>
      <c r="H3" s="29"/>
    </row>
    <row r="4" spans="2:8" x14ac:dyDescent="0.25">
      <c r="B4" s="7" t="s">
        <v>31</v>
      </c>
      <c r="C4" s="10">
        <v>2</v>
      </c>
      <c r="D4" s="11">
        <v>11</v>
      </c>
      <c r="E4" s="17">
        <v>5</v>
      </c>
      <c r="F4" s="13">
        <f t="shared" ref="F4:F5" si="0">SUM(C4:E4)</f>
        <v>18</v>
      </c>
      <c r="G4" s="29"/>
      <c r="H4" s="29"/>
    </row>
    <row r="5" spans="2:8" ht="16.5" thickBot="1" x14ac:dyDescent="0.3">
      <c r="B5" s="25" t="s">
        <v>18</v>
      </c>
      <c r="C5" s="18">
        <v>6</v>
      </c>
      <c r="D5" s="19">
        <v>7</v>
      </c>
      <c r="E5" s="20">
        <v>5</v>
      </c>
      <c r="F5" s="22">
        <f t="shared" si="0"/>
        <v>18</v>
      </c>
      <c r="G5" s="29"/>
      <c r="H5" s="29"/>
    </row>
    <row r="6" spans="2:8" ht="16.5" thickBot="1" x14ac:dyDescent="0.3">
      <c r="B6" s="26" t="s">
        <v>34</v>
      </c>
      <c r="C6" s="14">
        <f>SUM(C3:C5)</f>
        <v>13</v>
      </c>
      <c r="D6" s="15">
        <f t="shared" ref="D6:E6" si="1">SUM(D3:D5)</f>
        <v>25</v>
      </c>
      <c r="E6" s="21">
        <f t="shared" si="1"/>
        <v>14</v>
      </c>
      <c r="F6" s="23">
        <f>SUM(F3:F5)</f>
        <v>52</v>
      </c>
      <c r="G6" s="29"/>
      <c r="H6" s="29"/>
    </row>
    <row r="7" spans="2:8" ht="164.25" customHeight="1" thickTop="1" x14ac:dyDescent="0.25">
      <c r="B7" s="29"/>
      <c r="C7" s="29"/>
      <c r="D7" s="29"/>
      <c r="E7" s="29"/>
      <c r="F7" s="29"/>
      <c r="G7" s="29"/>
      <c r="H7" s="29"/>
    </row>
  </sheetData>
  <sortState xmlns:xlrd2="http://schemas.microsoft.com/office/spreadsheetml/2017/richdata2" ref="Q5:Q22">
    <sortCondition ref="Q5:Q22"/>
  </sortState>
  <conditionalFormatting sqref="C6:F6 F3:F5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3B98C-5727-4EFB-B7FC-2B4B1DFD25AC}">
  <sheetPr codeName="Sheet6"/>
  <dimension ref="A2:G2"/>
  <sheetViews>
    <sheetView zoomScale="70" zoomScaleNormal="70" workbookViewId="0">
      <selection activeCell="C3" sqref="C3:E5"/>
    </sheetView>
  </sheetViews>
  <sheetFormatPr defaultRowHeight="15.75" x14ac:dyDescent="0.25"/>
  <cols>
    <col min="1" max="1" width="13.875" bestFit="1" customWidth="1"/>
    <col min="2" max="2" width="77.25" customWidth="1"/>
    <col min="3" max="3" width="72.875" customWidth="1"/>
  </cols>
  <sheetData>
    <row r="2" spans="1:7" ht="223.5" customHeight="1" x14ac:dyDescent="0.25">
      <c r="A2" t="s">
        <v>37</v>
      </c>
      <c r="B2" s="24"/>
      <c r="G2" t="s">
        <v>37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"/>
  <sheetViews>
    <sheetView workbookViewId="0">
      <selection activeCell="J3" sqref="J3"/>
    </sheetView>
  </sheetViews>
  <sheetFormatPr defaultColWidth="11" defaultRowHeight="15.75" x14ac:dyDescent="0.25"/>
  <cols>
    <col min="10" max="10" width="10.625" customWidth="1"/>
  </cols>
  <sheetData>
    <row r="1" spans="1:11" x14ac:dyDescent="0.25">
      <c r="H1" t="s">
        <v>15</v>
      </c>
      <c r="I1" t="s">
        <v>16</v>
      </c>
      <c r="J1" t="s">
        <v>17</v>
      </c>
      <c r="K1" t="s">
        <v>18</v>
      </c>
    </row>
    <row r="2" spans="1:11" x14ac:dyDescent="0.25">
      <c r="A2" t="str" cm="1">
        <f t="array" ref="A2:A9">_xlfn.UNIQUE(Stations!C2:C12)</f>
        <v>Jan</v>
      </c>
      <c r="B2" t="str" cm="1">
        <f t="array" ref="B2:B8">_xlfn.UNIQUE(Stations!D2:D12)</f>
        <v>Michael</v>
      </c>
      <c r="C2" t="str" cm="1">
        <f t="array" ref="C2:C8">_xlfn.UNIQUE(Stations!E2:E12)</f>
        <v>David</v>
      </c>
      <c r="H2" t="s">
        <v>19</v>
      </c>
      <c r="I2" t="str">
        <f>[1]Stations!B2</f>
        <v>Chaya</v>
      </c>
      <c r="J2" t="str">
        <f>[1]Stations!C2</f>
        <v>Teddy</v>
      </c>
      <c r="K2" t="str">
        <f>[1]Stations!D2</f>
        <v>Thabet</v>
      </c>
    </row>
    <row r="3" spans="1:11" x14ac:dyDescent="0.25">
      <c r="A3" t="str">
        <v>Dwight</v>
      </c>
      <c r="B3" t="str">
        <v>Jim</v>
      </c>
      <c r="C3" t="str">
        <v>Oscar</v>
      </c>
      <c r="H3" t="s">
        <v>20</v>
      </c>
      <c r="I3" t="str">
        <f>_xlfn.TEXTJOIN(",",TRUE,A2:A12)</f>
        <v>Jan,Dwight,Pam,Kevin,Angela,Holly,Meredith,Gabe</v>
      </c>
      <c r="J3" t="str">
        <f t="shared" ref="J3:K3" si="0">_xlfn.TEXTJOIN(",",TRUE,B2:B12)</f>
        <v>Michael,Jim,Creed,Andy,Stanley,Kelly,Karen</v>
      </c>
      <c r="K3" t="str">
        <f t="shared" si="0"/>
        <v>David,Oscar,Erin,Toby,Darryl,Ryan,Phyllis</v>
      </c>
    </row>
    <row r="4" spans="1:11" x14ac:dyDescent="0.25">
      <c r="A4" t="str">
        <v>Pam</v>
      </c>
      <c r="B4" t="str">
        <v>Creed</v>
      </c>
      <c r="C4" t="str">
        <v>Erin</v>
      </c>
    </row>
    <row r="5" spans="1:11" x14ac:dyDescent="0.25">
      <c r="A5" t="str">
        <v>Kevin</v>
      </c>
      <c r="B5" t="str">
        <v>Andy</v>
      </c>
      <c r="C5" t="str">
        <v>Toby</v>
      </c>
    </row>
    <row r="6" spans="1:11" x14ac:dyDescent="0.25">
      <c r="A6" t="str">
        <v>Angela</v>
      </c>
      <c r="B6" t="str">
        <v>Stanley</v>
      </c>
      <c r="C6" t="str">
        <v>Darryl</v>
      </c>
    </row>
    <row r="7" spans="1:11" x14ac:dyDescent="0.25">
      <c r="A7" t="str">
        <v>Holly</v>
      </c>
      <c r="B7" t="str">
        <v>Kelly</v>
      </c>
      <c r="C7" t="str">
        <v>Ryan</v>
      </c>
    </row>
    <row r="8" spans="1:11" x14ac:dyDescent="0.25">
      <c r="A8" t="str">
        <v>Meredith</v>
      </c>
      <c r="B8" t="str">
        <v>Karen</v>
      </c>
      <c r="C8" t="str">
        <v>Phyllis</v>
      </c>
    </row>
    <row r="9" spans="1:11" x14ac:dyDescent="0.25">
      <c r="A9" t="str">
        <v>Gabe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C3" sqref="C3:E5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Current Status</vt:lpstr>
      <vt:lpstr>Stations</vt:lpstr>
      <vt:lpstr>Backend</vt:lpstr>
      <vt:lpstr>Pictures</vt:lpstr>
      <vt:lpstr>Teams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akiva</cp:lastModifiedBy>
  <dcterms:created xsi:type="dcterms:W3CDTF">2015-01-25T11:31:25Z</dcterms:created>
  <dcterms:modified xsi:type="dcterms:W3CDTF">2023-02-27T12:20:12Z</dcterms:modified>
</cp:coreProperties>
</file>